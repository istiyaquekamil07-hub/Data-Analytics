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Desktop\Istiyaque_Kamil\Courses\Data Analytics\"/>
    </mc:Choice>
  </mc:AlternateContent>
  <bookViews>
    <workbookView xWindow="0" yWindow="0" windowWidth="20490" windowHeight="7650" tabRatio="500" activeTab="1"/>
  </bookViews>
  <sheets>
    <sheet name="Dashboard" sheetId="1" r:id="rId1"/>
    <sheet name="Daily Log" sheetId="2" r:id="rId2"/>
  </sheets>
  <calcPr calcId="162913"/>
</workbook>
</file>

<file path=xl/calcChain.xml><?xml version="1.0" encoding="utf-8"?>
<calcChain xmlns="http://schemas.openxmlformats.org/spreadsheetml/2006/main">
  <c r="I29" i="2" l="1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I5" i="2"/>
  <c r="H5" i="2"/>
  <c r="I4" i="2"/>
  <c r="H4" i="2"/>
  <c r="E26" i="1" l="1"/>
  <c r="D26" i="1"/>
  <c r="C26" i="1"/>
  <c r="H25" i="1"/>
  <c r="F25" i="1"/>
  <c r="I25" i="1" s="1"/>
  <c r="H24" i="1"/>
  <c r="F24" i="1"/>
  <c r="I24" i="1" s="1"/>
  <c r="H23" i="1"/>
  <c r="F23" i="1"/>
  <c r="I23" i="1" s="1"/>
  <c r="H22" i="1"/>
  <c r="F22" i="1"/>
  <c r="I22" i="1" s="1"/>
  <c r="H21" i="1"/>
  <c r="F21" i="1"/>
  <c r="I21" i="1" s="1"/>
  <c r="H20" i="1"/>
  <c r="F20" i="1"/>
  <c r="I20" i="1" s="1"/>
  <c r="H19" i="1"/>
  <c r="F19" i="1"/>
  <c r="H18" i="1"/>
  <c r="F18" i="1"/>
  <c r="I18" i="1" s="1"/>
  <c r="H17" i="1"/>
  <c r="F17" i="1"/>
  <c r="I17" i="1" s="1"/>
  <c r="H16" i="1"/>
  <c r="F16" i="1"/>
  <c r="G16" i="1" s="1"/>
  <c r="G12" i="1"/>
  <c r="E12" i="1"/>
  <c r="C12" i="1"/>
  <c r="J6" i="1"/>
  <c r="H4" i="1"/>
  <c r="E4" i="1"/>
  <c r="I19" i="1" l="1"/>
  <c r="G19" i="1"/>
  <c r="D6" i="1"/>
  <c r="F26" i="1"/>
  <c r="B29" i="1" s="1"/>
  <c r="H26" i="1"/>
  <c r="G17" i="1"/>
  <c r="G18" i="1"/>
  <c r="G20" i="1"/>
  <c r="G21" i="1"/>
  <c r="G22" i="1"/>
  <c r="G23" i="1"/>
  <c r="G24" i="1"/>
  <c r="G25" i="1"/>
  <c r="B6" i="1"/>
  <c r="F6" i="1"/>
  <c r="I16" i="1"/>
  <c r="I26" i="1" l="1"/>
  <c r="A12" i="1"/>
  <c r="H6" i="1"/>
  <c r="G26" i="1"/>
  <c r="B30" i="1" s="1"/>
  <c r="K4" i="1"/>
  <c r="N4" i="1" s="1"/>
</calcChain>
</file>

<file path=xl/sharedStrings.xml><?xml version="1.0" encoding="utf-8"?>
<sst xmlns="http://schemas.openxmlformats.org/spreadsheetml/2006/main" count="105" uniqueCount="53">
  <si>
    <t>📊  DATA ANALYTICS COURSE — PROGRESS DASHBOARD</t>
  </si>
  <si>
    <t>One topic at a time. One adaptive target every day. Reorder by Priority whenever you want.</t>
  </si>
  <si>
    <t>Start Date:</t>
  </si>
  <si>
    <t>Today:</t>
  </si>
  <si>
    <t>Days Elapsed:</t>
  </si>
  <si>
    <t>Projected Finish:</t>
  </si>
  <si>
    <t>Days to Finish:</t>
  </si>
  <si>
    <t>Lessons Completed</t>
  </si>
  <si>
    <t>Hours Studied</t>
  </si>
  <si>
    <t>Overall Completion</t>
  </si>
  <si>
    <t>Now Studying</t>
  </si>
  <si>
    <t>Today's Status</t>
  </si>
  <si>
    <t>🎯 Today's Focus</t>
  </si>
  <si>
    <t>Current Topic</t>
  </si>
  <si>
    <t>Today's Target</t>
  </si>
  <si>
    <t>Completed Today</t>
  </si>
  <si>
    <t>Status</t>
  </si>
  <si>
    <t>Course Plan &amp; Progress  (change Priority to reorder topics)</t>
  </si>
  <si>
    <t>Topic</t>
  </si>
  <si>
    <t>Priority</t>
  </si>
  <si>
    <t>Total Lessons</t>
  </si>
  <si>
    <t>Total Time (min)</t>
  </si>
  <si>
    <t>Min Days</t>
  </si>
  <si>
    <t>Completed</t>
  </si>
  <si>
    <t>Remaining</t>
  </si>
  <si>
    <t>Time Spent (hrs)</t>
  </si>
  <si>
    <t>% Complete</t>
  </si>
  <si>
    <t>Advance Excel</t>
  </si>
  <si>
    <t>Basic Python</t>
  </si>
  <si>
    <t>SQL</t>
  </si>
  <si>
    <t>Advance Python</t>
  </si>
  <si>
    <t>AI Tools</t>
  </si>
  <si>
    <t>Git and Github</t>
  </si>
  <si>
    <t>Web Development</t>
  </si>
  <si>
    <t>Statistics</t>
  </si>
  <si>
    <t>Power BI</t>
  </si>
  <si>
    <t>Tableau</t>
  </si>
  <si>
    <t>TOTAL</t>
  </si>
  <si>
    <t>Overall Lesson Split</t>
  </si>
  <si>
    <t>📅 DAILY LOG — Data Analytics Course (sequential by priority, one topic at a time)</t>
  </si>
  <si>
    <t>Rows are generated automatically for whichever topic is currently active (by Priority order on the Dashboard). Fill in Lesson Completed (and Time Spent) for today's row — once you save, the macro recalculates tomorrow's target and adds/removes rows as needed.</t>
  </si>
  <si>
    <t>Date</t>
  </si>
  <si>
    <t>Lesson Completed</t>
  </si>
  <si>
    <t>Time Spent (min)</t>
  </si>
  <si>
    <t>Target for the Day</t>
  </si>
  <si>
    <t>Variance</t>
  </si>
  <si>
    <t>Cumulative Lessons</t>
  </si>
  <si>
    <t>Cumulative Hours</t>
  </si>
  <si>
    <t>✅ Hit</t>
  </si>
  <si>
    <t>⚠️ Missed</t>
  </si>
  <si>
    <t>⬜ Pending</t>
  </si>
  <si>
    <t>Grey columns (Date/Topic) are macro-controlled — don't edit directly. Blue columns (Lesson Completed / Time Spent) are yours to fill in each day. To reorder topics, change the Priority numbers on the Dashboard — don't cut/paste rows here or there.</t>
  </si>
  <si>
    <t>🎉 Topic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</si>
</sst>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%"/>
    <numFmt numFmtId="166" formatCode="dd\-mmm\-yyyy"/>
    <numFmt numFmtId="167" formatCode="#,##0.0"/>
  </numFmts>
  <fonts count="17" x14ac:knownFonts="1">
    <font>
      <sz val="11"/>
      <color theme="1"/>
      <name val="Calibri"/>
      <family val="2"/>
      <charset val="1"/>
    </font>
    <font>
      <b/>
      <sz val="11"/>
      <name val="Arial"/>
      <family val="2"/>
    </font>
    <font>
      <b/>
      <sz val="22"/>
      <color rgb="FFFFFFFF"/>
      <name val="Arial"/>
      <family val="2"/>
    </font>
    <font>
      <b/>
      <sz val="16"/>
      <color rgb="FFFFFFFF"/>
      <name val="Arial"/>
      <family val="2"/>
    </font>
    <font>
      <b/>
      <sz val="10"/>
      <color rgb="FF6B7280"/>
      <name val="Arial"/>
      <family val="2"/>
    </font>
    <font>
      <i/>
      <sz val="9"/>
      <color rgb="FF6B7280"/>
      <name val="Arial"/>
      <family val="2"/>
    </font>
    <font>
      <sz val="11"/>
      <name val="Arial"/>
      <family val="2"/>
    </font>
    <font>
      <b/>
      <sz val="11"/>
      <color theme="1" tint="0.14999847407452621"/>
      <name val="Times New Roman"/>
      <family val="1"/>
    </font>
    <font>
      <b/>
      <sz val="14"/>
      <color theme="0"/>
      <name val="Arial"/>
      <family val="2"/>
    </font>
    <font>
      <i/>
      <sz val="9"/>
      <name val="Arial"/>
      <family val="2"/>
    </font>
    <font>
      <b/>
      <sz val="20"/>
      <color theme="0"/>
      <name val="Arial"/>
      <family val="2"/>
    </font>
    <font>
      <i/>
      <sz val="11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sz val="13"/>
      <name val="Arial"/>
      <family val="2"/>
    </font>
    <font>
      <sz val="14"/>
      <color rgb="FF1F2A44"/>
      <name val="Arial"/>
      <family val="2"/>
    </font>
    <font>
      <b/>
      <sz val="11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2563EB"/>
        <bgColor rgb="FF4672A8"/>
      </patternFill>
    </fill>
    <fill>
      <patternFill patternType="solid">
        <fgColor rgb="FF0D9488"/>
        <bgColor rgb="FF16A34A"/>
      </patternFill>
    </fill>
    <fill>
      <patternFill patternType="solid">
        <fgColor rgb="FFF97316"/>
        <bgColor rgb="FFDC853E"/>
      </patternFill>
    </fill>
    <fill>
      <patternFill patternType="solid">
        <fgColor rgb="FF7C3AED"/>
        <bgColor rgb="FF725990"/>
      </patternFill>
    </fill>
    <fill>
      <patternFill patternType="solid">
        <fgColor rgb="FF16A34A"/>
        <bgColor rgb="FF0D9488"/>
      </patternFill>
    </fill>
    <fill>
      <patternFill patternType="solid">
        <fgColor rgb="FFF9FAFB"/>
        <bgColor rgb="FFF9F9F9"/>
      </patternFill>
    </fill>
    <fill>
      <patternFill patternType="solid">
        <fgColor rgb="FFFFFFFF"/>
        <bgColor rgb="FFF9FAFB"/>
      </patternFill>
    </fill>
    <fill>
      <gradientFill type="path" left="0.5" right="0.5" top="0.5" bottom="0.5">
        <stop position="0">
          <color theme="0"/>
        </stop>
        <stop position="1">
          <color theme="4" tint="0.80001220740379042"/>
        </stop>
      </gradientFill>
    </fill>
    <fill>
      <gradientFill degree="270">
        <stop position="0">
          <color theme="0"/>
        </stop>
        <stop position="1">
          <color theme="3"/>
        </stop>
      </gradientFill>
    </fill>
    <fill>
      <gradientFill degree="90">
        <stop position="0">
          <color theme="0"/>
        </stop>
        <stop position="0.5">
          <color theme="3"/>
        </stop>
        <stop position="1">
          <color theme="0"/>
        </stop>
      </gradientFill>
    </fill>
    <fill>
      <gradientFill degree="225">
        <stop position="0">
          <color theme="0" tint="-5.0965910824915313E-2"/>
        </stop>
        <stop position="1">
          <color theme="3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0.5">
          <color theme="2" tint="-9.8025452436902985E-2"/>
        </stop>
        <stop position="1">
          <color theme="0"/>
        </stop>
      </gradientFill>
    </fill>
  </fills>
  <borders count="13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1D5DB"/>
      </left>
      <right style="thin">
        <color rgb="FFD1D5DB"/>
      </right>
      <top/>
      <bottom style="thin">
        <color rgb="FFD1D5DB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3" fontId="0" fillId="7" borderId="1" xfId="0" applyNumberFormat="1" applyFill="1" applyBorder="1" applyAlignment="1">
      <alignment horizontal="center"/>
    </xf>
    <xf numFmtId="3" fontId="0" fillId="8" borderId="1" xfId="0" applyNumberFormat="1" applyFill="1" applyBorder="1" applyAlignment="1">
      <alignment horizontal="center"/>
    </xf>
    <xf numFmtId="0" fontId="4" fillId="0" borderId="0" xfId="0" applyFont="1"/>
    <xf numFmtId="3" fontId="0" fillId="0" borderId="0" xfId="0" applyNumberFormat="1"/>
    <xf numFmtId="0" fontId="0" fillId="0" borderId="0" xfId="0"/>
    <xf numFmtId="0" fontId="6" fillId="7" borderId="1" xfId="0" applyFont="1" applyFill="1" applyBorder="1" applyAlignment="1">
      <alignment horizontal="left" indent="1"/>
    </xf>
    <xf numFmtId="3" fontId="6" fillId="7" borderId="1" xfId="0" applyNumberFormat="1" applyFont="1" applyFill="1" applyBorder="1" applyAlignment="1">
      <alignment horizontal="center"/>
    </xf>
    <xf numFmtId="0" fontId="6" fillId="8" borderId="1" xfId="0" applyFont="1" applyFill="1" applyBorder="1" applyAlignment="1">
      <alignment horizontal="left" indent="1"/>
    </xf>
    <xf numFmtId="3" fontId="6" fillId="8" borderId="1" xfId="0" applyNumberFormat="1" applyFont="1" applyFill="1" applyBorder="1" applyAlignment="1">
      <alignment horizontal="center"/>
    </xf>
    <xf numFmtId="3" fontId="0" fillId="9" borderId="5" xfId="0" applyNumberFormat="1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7" fillId="10" borderId="2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13" fillId="13" borderId="0" xfId="0" applyFont="1" applyFill="1" applyAlignment="1">
      <alignment horizontal="center" wrapText="1"/>
    </xf>
    <xf numFmtId="0" fontId="1" fillId="14" borderId="1" xfId="0" applyFont="1" applyFill="1" applyBorder="1" applyAlignment="1">
      <alignment horizontal="left" indent="1"/>
    </xf>
    <xf numFmtId="3" fontId="1" fillId="14" borderId="1" xfId="0" applyNumberFormat="1" applyFont="1" applyFill="1" applyBorder="1" applyAlignment="1">
      <alignment horizontal="center"/>
    </xf>
    <xf numFmtId="0" fontId="1" fillId="14" borderId="0" xfId="0" applyFont="1" applyFill="1"/>
    <xf numFmtId="0" fontId="0" fillId="14" borderId="0" xfId="0" applyFill="1"/>
    <xf numFmtId="0" fontId="13" fillId="14" borderId="0" xfId="0" applyFont="1" applyFill="1"/>
    <xf numFmtId="166" fontId="6" fillId="14" borderId="0" xfId="0" applyNumberFormat="1" applyFont="1" applyFill="1"/>
    <xf numFmtId="166" fontId="0" fillId="14" borderId="0" xfId="0" applyNumberFormat="1" applyFill="1"/>
    <xf numFmtId="164" fontId="0" fillId="7" borderId="1" xfId="0" applyNumberFormat="1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4" fontId="1" fillId="14" borderId="1" xfId="0" applyNumberFormat="1" applyFont="1" applyFill="1" applyBorder="1" applyAlignment="1">
      <alignment horizontal="center"/>
    </xf>
    <xf numFmtId="165" fontId="1" fillId="14" borderId="1" xfId="0" applyNumberFormat="1" applyFont="1" applyFill="1" applyBorder="1" applyAlignment="1">
      <alignment horizontal="center"/>
    </xf>
    <xf numFmtId="166" fontId="0" fillId="9" borderId="5" xfId="0" applyNumberFormat="1" applyFill="1" applyBorder="1" applyAlignment="1">
      <alignment horizontal="center"/>
    </xf>
    <xf numFmtId="166" fontId="0" fillId="14" borderId="0" xfId="0" applyNumberFormat="1" applyFill="1" applyAlignment="1">
      <alignment horizontal="center"/>
    </xf>
    <xf numFmtId="3" fontId="2" fillId="2" borderId="10" xfId="0" applyNumberFormat="1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5" borderId="11" xfId="0" applyFont="1" applyFill="1" applyBorder="1" applyAlignment="1">
      <alignment horizontal="center" vertical="center"/>
    </xf>
    <xf numFmtId="0" fontId="0" fillId="0" borderId="9" xfId="0" applyBorder="1"/>
    <xf numFmtId="3" fontId="15" fillId="14" borderId="0" xfId="0" applyNumberFormat="1" applyFont="1" applyFill="1" applyAlignment="1">
      <alignment horizontal="center" vertical="center"/>
    </xf>
    <xf numFmtId="0" fontId="0" fillId="0" borderId="0" xfId="0"/>
    <xf numFmtId="0" fontId="15" fillId="14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4" borderId="11" xfId="0" applyFont="1" applyFill="1" applyBorder="1" applyAlignment="1">
      <alignment horizontal="center" vertical="center"/>
    </xf>
    <xf numFmtId="0" fontId="11" fillId="14" borderId="0" xfId="0" applyFont="1" applyFill="1" applyAlignment="1">
      <alignment horizontal="center"/>
    </xf>
    <xf numFmtId="167" fontId="2" fillId="3" borderId="10" xfId="0" applyNumberFormat="1" applyFont="1" applyFill="1" applyBorder="1" applyAlignment="1">
      <alignment horizontal="center" vertical="center" wrapText="1"/>
    </xf>
    <xf numFmtId="165" fontId="2" fillId="4" borderId="10" xfId="0" applyNumberFormat="1" applyFont="1" applyFill="1" applyBorder="1" applyAlignment="1">
      <alignment horizontal="center" vertical="center" wrapText="1"/>
    </xf>
    <xf numFmtId="0" fontId="16" fillId="3" borderId="11" xfId="0" applyFont="1" applyFill="1" applyBorder="1" applyAlignment="1">
      <alignment horizontal="center" vertical="center"/>
    </xf>
    <xf numFmtId="49" fontId="3" fillId="5" borderId="10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0" fontId="8" fillId="11" borderId="12" xfId="0" applyFont="1" applyFill="1" applyBorder="1" applyAlignment="1">
      <alignment horizontal="left" vertical="center" indent="1"/>
    </xf>
    <xf numFmtId="0" fontId="0" fillId="0" borderId="3" xfId="0" applyBorder="1"/>
    <xf numFmtId="0" fontId="0" fillId="0" borderId="4" xfId="0" applyBorder="1"/>
    <xf numFmtId="0" fontId="9" fillId="0" borderId="12" xfId="0" applyFont="1" applyBorder="1" applyAlignment="1">
      <alignment horizontal="left" vertical="center" wrapText="1"/>
    </xf>
    <xf numFmtId="0" fontId="5" fillId="0" borderId="0" xfId="0" applyFont="1"/>
  </cellXfs>
  <cellStyles count="1">
    <cellStyle name="Normal" xfId="0" builtinId="0"/>
  </cellStyles>
  <dxfs count="12">
    <dxf>
      <fill>
        <gradientFill type="path" left="0.5" right="0.5" top="0.5" bottom="0.5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6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6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6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 tint="0.59999389629810485"/>
          </stop>
        </gradient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A64F"/>
      <rgbColor rgb="FF800080"/>
      <rgbColor rgb="FF0D9488"/>
      <rgbColor rgb="FFB8CD97"/>
      <rgbColor rgb="FF878787"/>
      <rgbColor rgb="FF93A9CE"/>
      <rgbColor rgb="FFAB4744"/>
      <rgbColor rgb="FFF9F9F9"/>
      <rgbColor rgb="FFEFF6FF"/>
      <rgbColor rgb="FF660066"/>
      <rgbColor rgb="FFDC853E"/>
      <rgbColor rgb="FF4672A8"/>
      <rgbColor rgb="FFD1D5DB"/>
      <rgbColor rgb="FF000080"/>
      <rgbColor rgb="FFFF00FF"/>
      <rgbColor rgb="FFFFFF00"/>
      <rgbColor rgb="FF00FFFF"/>
      <rgbColor rgb="FF800080"/>
      <rgbColor rgb="FF800000"/>
      <rgbColor rgb="FF4F81BD"/>
      <rgbColor rgb="FF0000FF"/>
      <rgbColor rgb="FF00CCFF"/>
      <rgbColor rgb="FFF1F5F9"/>
      <rgbColor rgb="FFE5E7EB"/>
      <rgbColor rgb="FFF9FAFB"/>
      <rgbColor rgb="FF99CCFF"/>
      <rgbColor rgb="FFD09493"/>
      <rgbColor rgb="FFA99BBD"/>
      <rgbColor rgb="FFD9D9D9"/>
      <rgbColor rgb="FF2563EB"/>
      <rgbColor rgb="FF4299B0"/>
      <rgbColor rgb="FF99CC00"/>
      <rgbColor rgb="FFFFCC00"/>
      <rgbColor rgb="FFFF9900"/>
      <rgbColor rgb="FFF97316"/>
      <rgbColor rgb="FF725990"/>
      <rgbColor rgb="FF94A3B8"/>
      <rgbColor rgb="FF1E3A5F"/>
      <rgbColor rgb="FF16A34A"/>
      <rgbColor rgb="FF003300"/>
      <rgbColor rgb="FF333300"/>
      <rgbColor rgb="FF993300"/>
      <rgbColor rgb="FF7C3AED"/>
      <rgbColor rgb="FF6B7280"/>
      <rgbColor rgb="FF1F2A4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Lessons: Planned vs Completed (by Topic)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Dashboard!$C$15</c:f>
              <c:strCache>
                <c:ptCount val="1"/>
                <c:pt idx="0">
                  <c:v>Total Lessons</c:v>
                </c:pt>
              </c:strCache>
            </c:strRef>
          </c:tx>
          <c:spPr>
            <a:solidFill>
              <a:srgbClr val="94A3B8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Dashboard!$A$16:$A$25</c:f>
              <c:strCache>
                <c:ptCount val="10"/>
                <c:pt idx="0">
                  <c:v>Advance Excel</c:v>
                </c:pt>
                <c:pt idx="1">
                  <c:v>Basic Python</c:v>
                </c:pt>
                <c:pt idx="2">
                  <c:v>SQL</c:v>
                </c:pt>
                <c:pt idx="3">
                  <c:v>Advance Python</c:v>
                </c:pt>
                <c:pt idx="4">
                  <c:v>AI Tools</c:v>
                </c:pt>
                <c:pt idx="5">
                  <c:v>Git and Github</c:v>
                </c:pt>
                <c:pt idx="6">
                  <c:v>Web Development</c:v>
                </c:pt>
                <c:pt idx="7">
                  <c:v>Statistics</c:v>
                </c:pt>
                <c:pt idx="8">
                  <c:v>Power BI</c:v>
                </c:pt>
                <c:pt idx="9">
                  <c:v>Tableau</c:v>
                </c:pt>
              </c:strCache>
            </c:strRef>
          </c:cat>
          <c:val>
            <c:numRef>
              <c:f>Dashboard!$C$16:$C$25</c:f>
              <c:numCache>
                <c:formatCode>#,##0</c:formatCode>
                <c:ptCount val="10"/>
                <c:pt idx="0">
                  <c:v>44</c:v>
                </c:pt>
                <c:pt idx="1">
                  <c:v>30</c:v>
                </c:pt>
                <c:pt idx="2">
                  <c:v>30</c:v>
                </c:pt>
                <c:pt idx="3">
                  <c:v>13</c:v>
                </c:pt>
                <c:pt idx="4">
                  <c:v>6</c:v>
                </c:pt>
                <c:pt idx="5">
                  <c:v>11</c:v>
                </c:pt>
                <c:pt idx="6">
                  <c:v>8</c:v>
                </c:pt>
                <c:pt idx="7">
                  <c:v>15</c:v>
                </c:pt>
                <c:pt idx="8">
                  <c:v>23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8-43E6-BFDB-7C53F10ED346}"/>
            </c:ext>
          </c:extLst>
        </c:ser>
        <c:ser>
          <c:idx val="1"/>
          <c:order val="1"/>
          <c:tx>
            <c:strRef>
              <c:f>Dashboard!$F$15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2563EB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Dashboard!$A$16:$A$25</c:f>
              <c:strCache>
                <c:ptCount val="10"/>
                <c:pt idx="0">
                  <c:v>Advance Excel</c:v>
                </c:pt>
                <c:pt idx="1">
                  <c:v>Basic Python</c:v>
                </c:pt>
                <c:pt idx="2">
                  <c:v>SQL</c:v>
                </c:pt>
                <c:pt idx="3">
                  <c:v>Advance Python</c:v>
                </c:pt>
                <c:pt idx="4">
                  <c:v>AI Tools</c:v>
                </c:pt>
                <c:pt idx="5">
                  <c:v>Git and Github</c:v>
                </c:pt>
                <c:pt idx="6">
                  <c:v>Web Development</c:v>
                </c:pt>
                <c:pt idx="7">
                  <c:v>Statistics</c:v>
                </c:pt>
                <c:pt idx="8">
                  <c:v>Power BI</c:v>
                </c:pt>
                <c:pt idx="9">
                  <c:v>Tableau</c:v>
                </c:pt>
              </c:strCache>
            </c:strRef>
          </c:cat>
          <c:val>
            <c:numRef>
              <c:f>Dashboard!$F$16:$F$25</c:f>
              <c:numCache>
                <c:formatCode>#,##0</c:formatCode>
                <c:ptCount val="10"/>
                <c:pt idx="0">
                  <c:v>44</c:v>
                </c:pt>
                <c:pt idx="1">
                  <c:v>30</c:v>
                </c:pt>
                <c:pt idx="2">
                  <c:v>30</c:v>
                </c:pt>
                <c:pt idx="3">
                  <c:v>13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8-43E6-BFDB-7C53F10ED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0"/>
        <c:axId val="7871138"/>
        <c:axId val="35621817"/>
      </c:barChart>
      <c:catAx>
        <c:axId val="787113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5621817"/>
        <c:crosses val="autoZero"/>
        <c:auto val="1"/>
        <c:lblAlgn val="ctr"/>
        <c:lblOffset val="100"/>
        <c:noMultiLvlLbl val="0"/>
      </c:catAx>
      <c:valAx>
        <c:axId val="35621817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Lessons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871138"/>
        <c:crosses val="autoZero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Planned Study Time Allocation by Topic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Dashboard!$D$15</c:f>
              <c:strCache>
                <c:ptCount val="1"/>
                <c:pt idx="0">
                  <c:v>Total Time (min)</c:v>
                </c:pt>
              </c:strCache>
            </c:strRef>
          </c:tx>
          <c:spPr>
            <a:solidFill>
              <a:srgbClr val="4F81BD"/>
            </a:solidFill>
            <a:ln w="0">
              <a:noFill/>
              <a:prstDash val="solid"/>
            </a:ln>
          </c:spPr>
          <c:dPt>
            <c:idx val="0"/>
            <c:bubble3D val="0"/>
            <c:spPr>
              <a:solidFill>
                <a:srgbClr val="4672A8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8B1-4012-A908-95BC9F8E2D7E}"/>
              </c:ext>
            </c:extLst>
          </c:dPt>
          <c:dPt>
            <c:idx val="1"/>
            <c:bubble3D val="0"/>
            <c:spPr>
              <a:solidFill>
                <a:srgbClr val="AB4744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8B1-4012-A908-95BC9F8E2D7E}"/>
              </c:ext>
            </c:extLst>
          </c:dPt>
          <c:dPt>
            <c:idx val="2"/>
            <c:bubble3D val="0"/>
            <c:spPr>
              <a:solidFill>
                <a:srgbClr val="8AA64F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58B1-4012-A908-95BC9F8E2D7E}"/>
              </c:ext>
            </c:extLst>
          </c:dPt>
          <c:dPt>
            <c:idx val="3"/>
            <c:bubble3D val="0"/>
            <c:spPr>
              <a:solidFill>
                <a:srgbClr val="725990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58B1-4012-A908-95BC9F8E2D7E}"/>
              </c:ext>
            </c:extLst>
          </c:dPt>
          <c:dPt>
            <c:idx val="4"/>
            <c:bubble3D val="0"/>
            <c:spPr>
              <a:solidFill>
                <a:srgbClr val="4299B0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58B1-4012-A908-95BC9F8E2D7E}"/>
              </c:ext>
            </c:extLst>
          </c:dPt>
          <c:dPt>
            <c:idx val="5"/>
            <c:bubble3D val="0"/>
            <c:spPr>
              <a:solidFill>
                <a:srgbClr val="DC853E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58B1-4012-A908-95BC9F8E2D7E}"/>
              </c:ext>
            </c:extLst>
          </c:dPt>
          <c:dPt>
            <c:idx val="6"/>
            <c:bubble3D val="0"/>
            <c:spPr>
              <a:solidFill>
                <a:srgbClr val="93A9CE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58B1-4012-A908-95BC9F8E2D7E}"/>
              </c:ext>
            </c:extLst>
          </c:dPt>
          <c:dPt>
            <c:idx val="7"/>
            <c:bubble3D val="0"/>
            <c:spPr>
              <a:solidFill>
                <a:srgbClr val="D09493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58B1-4012-A908-95BC9F8E2D7E}"/>
              </c:ext>
            </c:extLst>
          </c:dPt>
          <c:dPt>
            <c:idx val="8"/>
            <c:bubble3D val="0"/>
            <c:spPr>
              <a:solidFill>
                <a:srgbClr val="B8CD97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58B1-4012-A908-95BC9F8E2D7E}"/>
              </c:ext>
            </c:extLst>
          </c:dPt>
          <c:dPt>
            <c:idx val="9"/>
            <c:bubble3D val="0"/>
            <c:spPr>
              <a:solidFill>
                <a:srgbClr val="A99BBD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58B1-4012-A908-95BC9F8E2D7E}"/>
              </c:ext>
            </c:extLst>
          </c:dPt>
          <c:dLbls>
            <c:dLbl>
              <c:idx val="0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1-58B1-4012-A908-95BC9F8E2D7E}"/>
                </c:ext>
              </c:extLst>
            </c:dLbl>
            <c:dLbl>
              <c:idx val="1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3-58B1-4012-A908-95BC9F8E2D7E}"/>
                </c:ext>
              </c:extLst>
            </c:dLbl>
            <c:dLbl>
              <c:idx val="2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5-58B1-4012-A908-95BC9F8E2D7E}"/>
                </c:ext>
              </c:extLst>
            </c:dLbl>
            <c:dLbl>
              <c:idx val="3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7-58B1-4012-A908-95BC9F8E2D7E}"/>
                </c:ext>
              </c:extLst>
            </c:dLbl>
            <c:dLbl>
              <c:idx val="4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9-58B1-4012-A908-95BC9F8E2D7E}"/>
                </c:ext>
              </c:extLst>
            </c:dLbl>
            <c:dLbl>
              <c:idx val="5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B-58B1-4012-A908-95BC9F8E2D7E}"/>
                </c:ext>
              </c:extLst>
            </c:dLbl>
            <c:dLbl>
              <c:idx val="6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D-58B1-4012-A908-95BC9F8E2D7E}"/>
                </c:ext>
              </c:extLst>
            </c:dLbl>
            <c:dLbl>
              <c:idx val="7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F-58B1-4012-A908-95BC9F8E2D7E}"/>
                </c:ext>
              </c:extLst>
            </c:dLbl>
            <c:dLbl>
              <c:idx val="8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11-58B1-4012-A908-95BC9F8E2D7E}"/>
                </c:ext>
              </c:extLst>
            </c:dLbl>
            <c:dLbl>
              <c:idx val="9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13-58B1-4012-A908-95BC9F8E2D7E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bestFit"/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Dashboard!$A$16:$A$25</c:f>
              <c:strCache>
                <c:ptCount val="10"/>
                <c:pt idx="0">
                  <c:v>Advance Excel</c:v>
                </c:pt>
                <c:pt idx="1">
                  <c:v>Basic Python</c:v>
                </c:pt>
                <c:pt idx="2">
                  <c:v>SQL</c:v>
                </c:pt>
                <c:pt idx="3">
                  <c:v>Advance Python</c:v>
                </c:pt>
                <c:pt idx="4">
                  <c:v>AI Tools</c:v>
                </c:pt>
                <c:pt idx="5">
                  <c:v>Git and Github</c:v>
                </c:pt>
                <c:pt idx="6">
                  <c:v>Web Development</c:v>
                </c:pt>
                <c:pt idx="7">
                  <c:v>Statistics</c:v>
                </c:pt>
                <c:pt idx="8">
                  <c:v>Power BI</c:v>
                </c:pt>
                <c:pt idx="9">
                  <c:v>Tableau</c:v>
                </c:pt>
              </c:strCache>
            </c:strRef>
          </c:cat>
          <c:val>
            <c:numRef>
              <c:f>Dashboard!$D$16:$D$25</c:f>
              <c:numCache>
                <c:formatCode>#,##0</c:formatCode>
                <c:ptCount val="10"/>
                <c:pt idx="0">
                  <c:v>339</c:v>
                </c:pt>
                <c:pt idx="1">
                  <c:v>342</c:v>
                </c:pt>
                <c:pt idx="2">
                  <c:v>262</c:v>
                </c:pt>
                <c:pt idx="3">
                  <c:v>171</c:v>
                </c:pt>
                <c:pt idx="4">
                  <c:v>80</c:v>
                </c:pt>
                <c:pt idx="5">
                  <c:v>120</c:v>
                </c:pt>
                <c:pt idx="6">
                  <c:v>160</c:v>
                </c:pt>
                <c:pt idx="7">
                  <c:v>133</c:v>
                </c:pt>
                <c:pt idx="8">
                  <c:v>179</c:v>
                </c:pt>
                <c:pt idx="9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8B1-4012-A908-95BC9F8E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Completion % by Topic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Dashboard!$I$15</c:f>
              <c:strCache>
                <c:ptCount val="1"/>
                <c:pt idx="0">
                  <c:v>% Complete</c:v>
                </c:pt>
              </c:strCache>
            </c:strRef>
          </c:tx>
          <c:spPr>
            <a:solidFill>
              <a:srgbClr val="0D9488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Dashboard!$A$16:$A$25</c:f>
              <c:strCache>
                <c:ptCount val="10"/>
                <c:pt idx="0">
                  <c:v>Advance Excel</c:v>
                </c:pt>
                <c:pt idx="1">
                  <c:v>Basic Python</c:v>
                </c:pt>
                <c:pt idx="2">
                  <c:v>SQL</c:v>
                </c:pt>
                <c:pt idx="3">
                  <c:v>Advance Python</c:v>
                </c:pt>
                <c:pt idx="4">
                  <c:v>AI Tools</c:v>
                </c:pt>
                <c:pt idx="5">
                  <c:v>Git and Github</c:v>
                </c:pt>
                <c:pt idx="6">
                  <c:v>Web Development</c:v>
                </c:pt>
                <c:pt idx="7">
                  <c:v>Statistics</c:v>
                </c:pt>
                <c:pt idx="8">
                  <c:v>Power BI</c:v>
                </c:pt>
                <c:pt idx="9">
                  <c:v>Tableau</c:v>
                </c:pt>
              </c:strCache>
            </c:strRef>
          </c:cat>
          <c:val>
            <c:numRef>
              <c:f>Dashboard!$I$16:$I$25</c:f>
              <c:numCache>
                <c:formatCode>0.0%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8-4F55-9A3D-2089AF2C9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0623709"/>
        <c:axId val="15239962"/>
      </c:barChart>
      <c:catAx>
        <c:axId val="2062370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5239962"/>
        <c:crosses val="autoZero"/>
        <c:auto val="1"/>
        <c:lblAlgn val="ctr"/>
        <c:lblOffset val="100"/>
        <c:noMultiLvlLbl val="0"/>
      </c:catAx>
      <c:valAx>
        <c:axId val="15239962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0623709"/>
        <c:crosses val="autoZero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Cumulative Study Hours (actual log trend)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Log'!$I$3</c:f>
              <c:strCache>
                <c:ptCount val="1"/>
                <c:pt idx="0">
                  <c:v>Cumulative Hours</c:v>
                </c:pt>
              </c:strCache>
            </c:strRef>
          </c:tx>
          <c:spPr>
            <a:ln w="21960">
              <a:solidFill>
                <a:srgbClr val="F97316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rgbClr val="F97316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'Daily Log'!$A$4:$A$500</c:f>
              <c:numCache>
                <c:formatCode>dd\-mmm\-yyyy</c:formatCode>
                <c:ptCount val="497"/>
                <c:pt idx="0">
                  <c:v>46228</c:v>
                </c:pt>
                <c:pt idx="1">
                  <c:v>2</c:v>
                </c:pt>
                <c:pt idx="2">
                  <c:v>46230</c:v>
                </c:pt>
                <c:pt idx="3">
                  <c:v>46231</c:v>
                </c:pt>
                <c:pt idx="4">
                  <c:v>46232</c:v>
                </c:pt>
                <c:pt idx="5">
                  <c:v>46243</c:v>
                </c:pt>
                <c:pt idx="6">
                  <c:v>46244</c:v>
                </c:pt>
                <c:pt idx="7">
                  <c:v>46245</c:v>
                </c:pt>
                <c:pt idx="8">
                  <c:v>46248</c:v>
                </c:pt>
                <c:pt idx="9">
                  <c:v>46249</c:v>
                </c:pt>
                <c:pt idx="10">
                  <c:v>46252</c:v>
                </c:pt>
                <c:pt idx="11">
                  <c:v>46253</c:v>
                </c:pt>
                <c:pt idx="12">
                  <c:v>46256</c:v>
                </c:pt>
                <c:pt idx="13">
                  <c:v>46257</c:v>
                </c:pt>
                <c:pt idx="14">
                  <c:v>46259</c:v>
                </c:pt>
                <c:pt idx="15">
                  <c:v>46261</c:v>
                </c:pt>
                <c:pt idx="16">
                  <c:v>46264</c:v>
                </c:pt>
                <c:pt idx="17">
                  <c:v>46267</c:v>
                </c:pt>
                <c:pt idx="18">
                  <c:v>46268</c:v>
                </c:pt>
                <c:pt idx="19">
                  <c:v>46270</c:v>
                </c:pt>
                <c:pt idx="20">
                  <c:v>46271</c:v>
                </c:pt>
                <c:pt idx="21">
                  <c:v>46272</c:v>
                </c:pt>
                <c:pt idx="22">
                  <c:v>46273</c:v>
                </c:pt>
                <c:pt idx="23">
                  <c:v>46274</c:v>
                </c:pt>
                <c:pt idx="24">
                  <c:v>46275</c:v>
                </c:pt>
                <c:pt idx="25">
                  <c:v>46276</c:v>
                </c:pt>
              </c:numCache>
            </c:numRef>
          </c:cat>
          <c:val>
            <c:numRef>
              <c:f>'Daily Log'!$I$4:$I$500</c:f>
              <c:numCache>
                <c:formatCode>General</c:formatCode>
                <c:ptCount val="497"/>
                <c:pt idx="0">
                  <c:v>1.5</c:v>
                </c:pt>
                <c:pt idx="1">
                  <c:v>2.75</c:v>
                </c:pt>
                <c:pt idx="2">
                  <c:v>3.75</c:v>
                </c:pt>
                <c:pt idx="3">
                  <c:v>4.42</c:v>
                </c:pt>
                <c:pt idx="4">
                  <c:v>5.08</c:v>
                </c:pt>
                <c:pt idx="5">
                  <c:v>7.08</c:v>
                </c:pt>
                <c:pt idx="6">
                  <c:v>7.08</c:v>
                </c:pt>
                <c:pt idx="7">
                  <c:v>8.08</c:v>
                </c:pt>
                <c:pt idx="8">
                  <c:v>9.75</c:v>
                </c:pt>
                <c:pt idx="9">
                  <c:v>11.75</c:v>
                </c:pt>
                <c:pt idx="10">
                  <c:v>12.75</c:v>
                </c:pt>
                <c:pt idx="11">
                  <c:v>12.75</c:v>
                </c:pt>
                <c:pt idx="12">
                  <c:v>15.75</c:v>
                </c:pt>
                <c:pt idx="13">
                  <c:v>16.75</c:v>
                </c:pt>
                <c:pt idx="14">
                  <c:v>18.75</c:v>
                </c:pt>
                <c:pt idx="15">
                  <c:v>18.75</c:v>
                </c:pt>
                <c:pt idx="16">
                  <c:v>20.75</c:v>
                </c:pt>
                <c:pt idx="17">
                  <c:v>22.25</c:v>
                </c:pt>
                <c:pt idx="18">
                  <c:v>23.25</c:v>
                </c:pt>
                <c:pt idx="19">
                  <c:v>24.25</c:v>
                </c:pt>
                <c:pt idx="20">
                  <c:v>25.25</c:v>
                </c:pt>
                <c:pt idx="21">
                  <c:v>26.75</c:v>
                </c:pt>
                <c:pt idx="22">
                  <c:v>29.75</c:v>
                </c:pt>
                <c:pt idx="23">
                  <c:v>29.75</c:v>
                </c:pt>
                <c:pt idx="24">
                  <c:v>29.75</c:v>
                </c:pt>
                <c:pt idx="25">
                  <c:v>29.75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6-46C6-80B9-865347BAC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  <a:prstDash val="solid"/>
            </a:ln>
          </c:spPr>
        </c:hiLowLines>
        <c:marker val="1"/>
        <c:smooth val="0"/>
        <c:axId val="97898110"/>
        <c:axId val="68120640"/>
      </c:lineChart>
      <c:dateAx>
        <c:axId val="9789811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Date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dd\-mmm\-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8120640"/>
        <c:crosses val="autoZero"/>
        <c:auto val="1"/>
        <c:lblOffset val="100"/>
        <c:baseTimeUnit val="days"/>
      </c:dateAx>
      <c:valAx>
        <c:axId val="6812064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Cumulative Hours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7898110"/>
        <c:crosses val="autoZero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Overall Lesson Completion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  <a:prstDash val="solid"/>
            </a:ln>
          </c:spPr>
          <c:dPt>
            <c:idx val="0"/>
            <c:bubble3D val="0"/>
            <c:spPr>
              <a:solidFill>
                <a:srgbClr val="16A34A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637-4DAE-9512-0C5BB168DC97}"/>
              </c:ext>
            </c:extLst>
          </c:dPt>
          <c:dPt>
            <c:idx val="1"/>
            <c:bubble3D val="0"/>
            <c:spPr>
              <a:solidFill>
                <a:srgbClr val="E5E7EB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637-4DAE-9512-0C5BB168DC97}"/>
              </c:ext>
            </c:extLst>
          </c:dPt>
          <c:dLbls>
            <c:dLbl>
              <c:idx val="0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1-E637-4DAE-9512-0C5BB168DC97}"/>
                </c:ext>
              </c:extLst>
            </c:dLbl>
            <c:dLbl>
              <c:idx val="1"/>
              <c:spPr>
                <a:ln>
                  <a:prstDash val="solid"/>
                </a:ln>
              </c:spPr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3-E637-4DAE-9512-0C5BB168DC97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Dashboard!$A$29:$A$30</c:f>
              <c:strCache>
                <c:ptCount val="2"/>
                <c:pt idx="0">
                  <c:v>Completed</c:v>
                </c:pt>
                <c:pt idx="1">
                  <c:v>Remaining</c:v>
                </c:pt>
              </c:strCache>
            </c:strRef>
          </c:cat>
          <c:val>
            <c:numRef>
              <c:f>Dashboard!$B$29:$B$30</c:f>
              <c:numCache>
                <c:formatCode>#,##0</c:formatCode>
                <c:ptCount val="2"/>
                <c:pt idx="0">
                  <c:v>146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37-4DAE-9512-0C5BB168D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488156</xdr:colOff>
      <xdr:row>11</xdr:row>
      <xdr:rowOff>35717</xdr:rowOff>
    </xdr:from>
    <xdr:to>
      <xdr:col>18</xdr:col>
      <xdr:colOff>357187</xdr:colOff>
      <xdr:row>27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31</xdr:row>
      <xdr:rowOff>39960</xdr:rowOff>
    </xdr:from>
    <xdr:to>
      <xdr:col>16</xdr:col>
      <xdr:colOff>548617</xdr:colOff>
      <xdr:row>49</xdr:row>
      <xdr:rowOff>30600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52</xdr:row>
      <xdr:rowOff>39960</xdr:rowOff>
    </xdr:from>
    <xdr:to>
      <xdr:col>5</xdr:col>
      <xdr:colOff>358013</xdr:colOff>
      <xdr:row>70</xdr:row>
      <xdr:rowOff>30600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0</xdr:colOff>
      <xdr:row>52</xdr:row>
      <xdr:rowOff>39960</xdr:rowOff>
    </xdr:from>
    <xdr:to>
      <xdr:col>16</xdr:col>
      <xdr:colOff>548617</xdr:colOff>
      <xdr:row>70</xdr:row>
      <xdr:rowOff>30600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73</xdr:row>
      <xdr:rowOff>39960</xdr:rowOff>
    </xdr:from>
    <xdr:to>
      <xdr:col>3</xdr:col>
      <xdr:colOff>750593</xdr:colOff>
      <xdr:row>89</xdr:row>
      <xdr:rowOff>51840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zoomScale="90" zoomScaleNormal="90" workbookViewId="0">
      <pane ySplit="4" topLeftCell="A12" activePane="bottomLeft" state="frozen"/>
      <selection pane="bottomLeft" activeCell="B24" sqref="B24"/>
    </sheetView>
  </sheetViews>
  <sheetFormatPr defaultColWidth="8.7109375" defaultRowHeight="15" x14ac:dyDescent="0.25"/>
  <cols>
    <col min="1" max="1" width="21.28515625" style="5" bestFit="1" customWidth="1"/>
    <col min="2" max="2" width="13" style="5" bestFit="1" customWidth="1"/>
    <col min="3" max="3" width="15.7109375" style="5" bestFit="1" customWidth="1"/>
    <col min="4" max="4" width="14.42578125" style="5" customWidth="1"/>
    <col min="5" max="5" width="17.140625" style="5" customWidth="1"/>
    <col min="6" max="6" width="12.140625" style="5" bestFit="1" customWidth="1"/>
    <col min="7" max="7" width="15.5703125" style="5" bestFit="1" customWidth="1"/>
    <col min="8" max="8" width="12.7109375" style="5" bestFit="1" customWidth="1"/>
    <col min="9" max="9" width="18.140625" style="5" customWidth="1"/>
    <col min="10" max="10" width="18.42578125" style="5" bestFit="1" customWidth="1"/>
    <col min="11" max="11" width="12.7109375" style="5" bestFit="1" customWidth="1"/>
    <col min="12" max="12" width="4" style="5" customWidth="1"/>
    <col min="13" max="13" width="15.85546875" style="5" bestFit="1" customWidth="1"/>
    <col min="14" max="14" width="3.42578125" style="5" bestFit="1" customWidth="1"/>
  </cols>
  <sheetData>
    <row r="1" spans="1:14" ht="39.75" customHeight="1" x14ac:dyDescent="0.25">
      <c r="A1" s="42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5" customHeight="1" x14ac:dyDescent="0.25">
      <c r="A2" s="46" t="s">
        <v>1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</row>
    <row r="4" spans="1:14" x14ac:dyDescent="0.25">
      <c r="A4" s="20" t="s">
        <v>2</v>
      </c>
      <c r="B4" s="21">
        <v>46228</v>
      </c>
      <c r="C4" s="19"/>
      <c r="D4" s="18" t="s">
        <v>3</v>
      </c>
      <c r="E4" s="30">
        <f ca="1">TODAY()</f>
        <v>46273</v>
      </c>
      <c r="F4" s="19"/>
      <c r="G4" s="18" t="s">
        <v>4</v>
      </c>
      <c r="H4" s="19">
        <f ca="1">MAX(TODAY()-B4,0)</f>
        <v>45</v>
      </c>
      <c r="I4" s="19"/>
      <c r="J4" s="18" t="s">
        <v>5</v>
      </c>
      <c r="K4" s="22">
        <f>MAX('Daily Log'!A4:A500)+SUMPRODUCT((B16:B25&gt;SUMPRODUCT(MIN((G16:G25&gt;0)*B16:B25+(G16:G25&lt;=0)*99999)))*E16:E25)</f>
        <v>46285</v>
      </c>
      <c r="L4" s="19"/>
      <c r="M4" s="18" t="s">
        <v>6</v>
      </c>
      <c r="N4" s="19">
        <f ca="1">K4-E4</f>
        <v>12</v>
      </c>
    </row>
    <row r="5" spans="1:14" ht="15.75" customHeight="1" thickBot="1" x14ac:dyDescent="0.3"/>
    <row r="6" spans="1:14" ht="25.5" customHeight="1" x14ac:dyDescent="0.25">
      <c r="B6" s="31">
        <f>SUM(F16:F25)</f>
        <v>146</v>
      </c>
      <c r="C6" s="32"/>
      <c r="D6" s="47">
        <f>ROUND(SUM(H16:H25),1)</f>
        <v>29.8</v>
      </c>
      <c r="E6" s="32"/>
      <c r="F6" s="48">
        <f>IFERROR(SUM(F16:F25)/SUM(C16:C25),0)</f>
        <v>0.76842105263157889</v>
      </c>
      <c r="G6" s="32"/>
      <c r="H6" s="50" t="str">
        <f>IFERROR(INDEX(A16:A25,MATCH(SUMPRODUCT(MIN((G16:G25&gt;0)*B16:B25+(G16:G25&lt;=0)*99999)),B16:B25,0)),"🎉 Course Complete!")</f>
        <v>Git and Github</v>
      </c>
      <c r="I6" s="32"/>
      <c r="J6" s="51" t="str">
        <f ca="1">IFERROR(INDEX('Daily Log'!$F$4:$F$500,MATCH(TODAY(),'Daily Log'!$A$4:$A$500,0)),"—")</f>
        <v>🎉 Topic Complete</v>
      </c>
      <c r="K6" s="32"/>
    </row>
    <row r="7" spans="1:14" ht="25.5" customHeight="1" x14ac:dyDescent="0.25">
      <c r="B7" s="33"/>
      <c r="C7" s="34"/>
      <c r="D7" s="33"/>
      <c r="E7" s="34"/>
      <c r="F7" s="33"/>
      <c r="G7" s="34"/>
      <c r="H7" s="33"/>
      <c r="I7" s="34"/>
      <c r="J7" s="33"/>
      <c r="K7" s="34"/>
    </row>
    <row r="8" spans="1:14" ht="18" customHeight="1" thickBot="1" x14ac:dyDescent="0.3">
      <c r="B8" s="44" t="s">
        <v>7</v>
      </c>
      <c r="C8" s="36"/>
      <c r="D8" s="49" t="s">
        <v>8</v>
      </c>
      <c r="E8" s="36"/>
      <c r="F8" s="45" t="s">
        <v>9</v>
      </c>
      <c r="G8" s="36"/>
      <c r="H8" s="35" t="s">
        <v>10</v>
      </c>
      <c r="I8" s="36"/>
      <c r="J8" s="41" t="s">
        <v>11</v>
      </c>
      <c r="K8" s="36"/>
    </row>
    <row r="10" spans="1:14" ht="21.75" customHeight="1" x14ac:dyDescent="0.25">
      <c r="A10" s="43" t="s">
        <v>12</v>
      </c>
      <c r="B10" s="38"/>
      <c r="C10" s="38"/>
      <c r="D10" s="38"/>
      <c r="E10" s="38"/>
      <c r="F10" s="38"/>
      <c r="G10" s="38"/>
      <c r="H10" s="38"/>
    </row>
    <row r="11" spans="1:14" ht="16.5" customHeight="1" x14ac:dyDescent="0.25">
      <c r="A11" s="40" t="s">
        <v>13</v>
      </c>
      <c r="B11" s="38"/>
      <c r="C11" s="40" t="s">
        <v>14</v>
      </c>
      <c r="D11" s="38"/>
      <c r="E11" s="40" t="s">
        <v>15</v>
      </c>
      <c r="F11" s="38"/>
      <c r="G11" s="40" t="s">
        <v>16</v>
      </c>
      <c r="H11" s="38"/>
    </row>
    <row r="12" spans="1:14" ht="21.75" customHeight="1" x14ac:dyDescent="0.25">
      <c r="A12" s="39" t="str">
        <f>IFERROR(INDEX(A16:A25,MATCH(SUMPRODUCT(MIN((G16:G25&gt;0)*B16:B25+(G16:G25&lt;=0)*99999)),B16:B25,0)),"🎉 Course Complete!")</f>
        <v>Git and Github</v>
      </c>
      <c r="B12" s="38"/>
      <c r="C12" s="39">
        <f ca="1">IFERROR(INDEX('Daily Log'!$E$4:$E$500,MATCH(TODAY(),'Daily Log'!$A$4:$A$500,0)),"—")</f>
        <v>3</v>
      </c>
      <c r="D12" s="38"/>
      <c r="E12" s="37">
        <f ca="1">IFERROR(INDEX('Daily Log'!$C$4:$C$500,MATCH(TODAY(),'Daily Log'!$A$4:$A$500,0)),"—")</f>
        <v>15</v>
      </c>
      <c r="F12" s="38"/>
      <c r="G12" s="39" t="str">
        <f ca="1">IFERROR(INDEX('Daily Log'!$F$4:$F$500,MATCH(TODAY(),'Daily Log'!$A$4:$A$500,0)),"—")</f>
        <v>🎉 Topic Complete</v>
      </c>
      <c r="H12" s="38"/>
    </row>
    <row r="14" spans="1:14" ht="21.75" customHeight="1" x14ac:dyDescent="0.25">
      <c r="A14" s="43" t="s">
        <v>17</v>
      </c>
      <c r="B14" s="38"/>
      <c r="C14" s="38"/>
      <c r="D14" s="38"/>
      <c r="E14" s="38"/>
      <c r="F14" s="38"/>
      <c r="G14" s="38"/>
      <c r="H14" s="38"/>
      <c r="I14" s="38"/>
    </row>
    <row r="15" spans="1:14" ht="30" customHeight="1" x14ac:dyDescent="0.25">
      <c r="A15" s="15" t="s">
        <v>18</v>
      </c>
      <c r="B15" s="15" t="s">
        <v>19</v>
      </c>
      <c r="C15" s="15" t="s">
        <v>20</v>
      </c>
      <c r="D15" s="15" t="s">
        <v>21</v>
      </c>
      <c r="E15" s="15" t="s">
        <v>22</v>
      </c>
      <c r="F15" s="15" t="s">
        <v>23</v>
      </c>
      <c r="G15" s="15" t="s">
        <v>24</v>
      </c>
      <c r="H15" s="15" t="s">
        <v>25</v>
      </c>
      <c r="I15" s="15" t="s">
        <v>26</v>
      </c>
    </row>
    <row r="16" spans="1:14" x14ac:dyDescent="0.25">
      <c r="A16" s="6" t="s">
        <v>27</v>
      </c>
      <c r="B16" s="7">
        <v>2</v>
      </c>
      <c r="C16" s="7">
        <v>44</v>
      </c>
      <c r="D16" s="7">
        <v>339</v>
      </c>
      <c r="E16" s="7">
        <v>9</v>
      </c>
      <c r="F16" s="1">
        <f>SUMIFS('Daily Log'!$C$4:$C$500,'Daily Log'!$B$4:$B$500,A16)</f>
        <v>44</v>
      </c>
      <c r="G16" s="1">
        <f>C16-F16</f>
        <v>0</v>
      </c>
      <c r="H16" s="23">
        <f>ROUND(SUMIFS('Daily Log'!$D$4:$D$500,'Daily Log'!$B$4:$B$500,A16)/60,1)</f>
        <v>5.7</v>
      </c>
      <c r="I16" s="24">
        <f t="shared" ref="I16:I26" si="0">IFERROR(F16/C16,0)</f>
        <v>1</v>
      </c>
    </row>
    <row r="17" spans="1:9" x14ac:dyDescent="0.25">
      <c r="A17" s="8" t="s">
        <v>28</v>
      </c>
      <c r="B17" s="9">
        <v>1</v>
      </c>
      <c r="C17" s="9">
        <v>30</v>
      </c>
      <c r="D17" s="9">
        <v>342</v>
      </c>
      <c r="E17" s="9">
        <v>6</v>
      </c>
      <c r="F17" s="2">
        <f>SUMIFS('Daily Log'!$C$4:$C$500,'Daily Log'!$B$4:$B$500,A17)</f>
        <v>30</v>
      </c>
      <c r="G17" s="2">
        <f t="shared" ref="G17:G25" si="1">C17-F17</f>
        <v>0</v>
      </c>
      <c r="H17" s="25">
        <f>ROUND(SUMIFS('Daily Log'!$D$4:$D$500,'Daily Log'!$B$4:$B$500,A17)/60,1)</f>
        <v>7.1</v>
      </c>
      <c r="I17" s="26">
        <f t="shared" si="0"/>
        <v>1</v>
      </c>
    </row>
    <row r="18" spans="1:9" x14ac:dyDescent="0.25">
      <c r="A18" s="6" t="s">
        <v>29</v>
      </c>
      <c r="B18" s="7">
        <v>3</v>
      </c>
      <c r="C18" s="7">
        <v>30</v>
      </c>
      <c r="D18" s="7">
        <v>262</v>
      </c>
      <c r="E18" s="7">
        <v>6</v>
      </c>
      <c r="F18" s="1">
        <f>SUMIFS('Daily Log'!$C$4:$C$500,'Daily Log'!$B$4:$B$500,A18)</f>
        <v>30</v>
      </c>
      <c r="G18" s="1">
        <f t="shared" si="1"/>
        <v>0</v>
      </c>
      <c r="H18" s="23">
        <f>ROUND(SUMIFS('Daily Log'!$D$4:$D$500,'Daily Log'!$B$4:$B$500,A18)/60,1)</f>
        <v>8</v>
      </c>
      <c r="I18" s="24">
        <f t="shared" si="0"/>
        <v>1</v>
      </c>
    </row>
    <row r="19" spans="1:9" x14ac:dyDescent="0.25">
      <c r="A19" s="8" t="s">
        <v>30</v>
      </c>
      <c r="B19" s="9">
        <v>4</v>
      </c>
      <c r="C19" s="9">
        <v>13</v>
      </c>
      <c r="D19" s="9">
        <v>171</v>
      </c>
      <c r="E19" s="9">
        <v>4</v>
      </c>
      <c r="F19" s="2">
        <f>SUMIFS('Daily Log'!$C$4:$C$500,'Daily Log'!$B$4:$B$500,A19)</f>
        <v>13</v>
      </c>
      <c r="G19" s="2">
        <f>C19-F19</f>
        <v>0</v>
      </c>
      <c r="H19" s="25">
        <f>ROUND(SUMIFS('Daily Log'!$D$4:$D$500,'Daily Log'!$B$4:$B$500,A19)/60,1)</f>
        <v>3.5</v>
      </c>
      <c r="I19" s="26">
        <f t="shared" si="0"/>
        <v>1</v>
      </c>
    </row>
    <row r="20" spans="1:9" x14ac:dyDescent="0.25">
      <c r="A20" s="6" t="s">
        <v>31</v>
      </c>
      <c r="B20" s="7">
        <v>5</v>
      </c>
      <c r="C20" s="7">
        <v>6</v>
      </c>
      <c r="D20" s="7">
        <v>80</v>
      </c>
      <c r="E20" s="7">
        <v>1</v>
      </c>
      <c r="F20" s="1">
        <f>SUMIFS('Daily Log'!$C$4:$C$500,'Daily Log'!$B$4:$B$500,A20)</f>
        <v>6</v>
      </c>
      <c r="G20" s="1">
        <f t="shared" si="1"/>
        <v>0</v>
      </c>
      <c r="H20" s="23">
        <f>ROUND(SUMIFS('Daily Log'!$D$4:$D$500,'Daily Log'!$B$4:$B$500,A20)/60,1)</f>
        <v>1</v>
      </c>
      <c r="I20" s="24">
        <f t="shared" si="0"/>
        <v>1</v>
      </c>
    </row>
    <row r="21" spans="1:9" x14ac:dyDescent="0.25">
      <c r="A21" s="8" t="s">
        <v>32</v>
      </c>
      <c r="B21" s="9">
        <v>7</v>
      </c>
      <c r="C21" s="9">
        <v>11</v>
      </c>
      <c r="D21" s="9">
        <v>120</v>
      </c>
      <c r="E21" s="9">
        <v>3</v>
      </c>
      <c r="F21" s="2">
        <f>SUMIFS('Daily Log'!$C$4:$C$500,'Daily Log'!$B$4:$B$500,A21)</f>
        <v>0</v>
      </c>
      <c r="G21" s="2">
        <f t="shared" si="1"/>
        <v>11</v>
      </c>
      <c r="H21" s="25">
        <f>ROUND(SUMIFS('Daily Log'!$D$4:$D$500,'Daily Log'!$B$4:$B$500,A21)/60,1)</f>
        <v>0</v>
      </c>
      <c r="I21" s="26">
        <f t="shared" si="0"/>
        <v>0</v>
      </c>
    </row>
    <row r="22" spans="1:9" x14ac:dyDescent="0.25">
      <c r="A22" s="6" t="s">
        <v>33</v>
      </c>
      <c r="B22" s="7">
        <v>8</v>
      </c>
      <c r="C22" s="7">
        <v>8</v>
      </c>
      <c r="D22" s="7">
        <v>160</v>
      </c>
      <c r="E22" s="7">
        <v>2</v>
      </c>
      <c r="F22" s="1">
        <f>SUMIFS('Daily Log'!$C$4:$C$500,'Daily Log'!$B$4:$B$500,A22)</f>
        <v>0</v>
      </c>
      <c r="G22" s="1">
        <f t="shared" si="1"/>
        <v>8</v>
      </c>
      <c r="H22" s="23">
        <f>ROUND(SUMIFS('Daily Log'!$D$4:$D$500,'Daily Log'!$B$4:$B$500,A22)/60,1)</f>
        <v>0</v>
      </c>
      <c r="I22" s="24">
        <f t="shared" si="0"/>
        <v>0</v>
      </c>
    </row>
    <row r="23" spans="1:9" x14ac:dyDescent="0.25">
      <c r="A23" s="8" t="s">
        <v>34</v>
      </c>
      <c r="B23" s="9">
        <v>9</v>
      </c>
      <c r="C23" s="9">
        <v>15</v>
      </c>
      <c r="D23" s="9">
        <v>133</v>
      </c>
      <c r="E23" s="9">
        <v>5</v>
      </c>
      <c r="F23" s="2">
        <f>SUMIFS('Daily Log'!$C$4:$C$500,'Daily Log'!$B$4:$B$500,A23)</f>
        <v>0</v>
      </c>
      <c r="G23" s="2">
        <f t="shared" si="1"/>
        <v>15</v>
      </c>
      <c r="H23" s="25">
        <f>ROUND(SUMIFS('Daily Log'!$D$4:$D$500,'Daily Log'!$B$4:$B$500,A23)/60,1)</f>
        <v>0</v>
      </c>
      <c r="I23" s="26">
        <f t="shared" si="0"/>
        <v>0</v>
      </c>
    </row>
    <row r="24" spans="1:9" x14ac:dyDescent="0.25">
      <c r="A24" s="6" t="s">
        <v>35</v>
      </c>
      <c r="B24" s="7">
        <v>6</v>
      </c>
      <c r="C24" s="7">
        <v>23</v>
      </c>
      <c r="D24" s="7">
        <v>179</v>
      </c>
      <c r="E24" s="7">
        <v>6</v>
      </c>
      <c r="F24" s="1">
        <f>SUMIFS('Daily Log'!$C$4:$C$500,'Daily Log'!$B$4:$B$500,A24)</f>
        <v>23</v>
      </c>
      <c r="G24" s="1">
        <f t="shared" si="1"/>
        <v>0</v>
      </c>
      <c r="H24" s="23">
        <f>ROUND(SUMIFS('Daily Log'!$D$4:$D$500,'Daily Log'!$B$4:$B$500,A24)/60,1)</f>
        <v>4.5</v>
      </c>
      <c r="I24" s="24">
        <f t="shared" si="0"/>
        <v>1</v>
      </c>
    </row>
    <row r="25" spans="1:9" x14ac:dyDescent="0.25">
      <c r="A25" s="8" t="s">
        <v>36</v>
      </c>
      <c r="B25" s="9">
        <v>10</v>
      </c>
      <c r="C25" s="9">
        <v>10</v>
      </c>
      <c r="D25" s="9">
        <v>62</v>
      </c>
      <c r="E25" s="9">
        <v>2</v>
      </c>
      <c r="F25" s="2">
        <f>SUMIFS('Daily Log'!$C$4:$C$500,'Daily Log'!$B$4:$B$500,A25)</f>
        <v>0</v>
      </c>
      <c r="G25" s="2">
        <f t="shared" si="1"/>
        <v>10</v>
      </c>
      <c r="H25" s="25">
        <f>ROUND(SUMIFS('Daily Log'!$D$4:$D$500,'Daily Log'!$B$4:$B$500,A25)/60,1)</f>
        <v>0</v>
      </c>
      <c r="I25" s="26">
        <f t="shared" si="0"/>
        <v>0</v>
      </c>
    </row>
    <row r="26" spans="1:9" x14ac:dyDescent="0.25">
      <c r="A26" s="16" t="s">
        <v>37</v>
      </c>
      <c r="B26" s="17"/>
      <c r="C26" s="17">
        <f t="shared" ref="C26:H26" si="2">SUM(C16:C25)</f>
        <v>190</v>
      </c>
      <c r="D26" s="17">
        <f t="shared" si="2"/>
        <v>1848</v>
      </c>
      <c r="E26" s="17">
        <f t="shared" si="2"/>
        <v>44</v>
      </c>
      <c r="F26" s="17">
        <f t="shared" si="2"/>
        <v>146</v>
      </c>
      <c r="G26" s="17">
        <f t="shared" si="2"/>
        <v>44</v>
      </c>
      <c r="H26" s="27">
        <f t="shared" si="2"/>
        <v>29.8</v>
      </c>
      <c r="I26" s="28">
        <f t="shared" si="0"/>
        <v>0.76842105263157889</v>
      </c>
    </row>
    <row r="28" spans="1:9" x14ac:dyDescent="0.25">
      <c r="A28" s="3" t="s">
        <v>38</v>
      </c>
    </row>
    <row r="29" spans="1:9" x14ac:dyDescent="0.25">
      <c r="A29" t="s">
        <v>23</v>
      </c>
      <c r="B29" s="4">
        <f>F26</f>
        <v>146</v>
      </c>
    </row>
    <row r="30" spans="1:9" x14ac:dyDescent="0.25">
      <c r="A30" t="s">
        <v>24</v>
      </c>
      <c r="B30" s="4">
        <f>G26</f>
        <v>44</v>
      </c>
    </row>
  </sheetData>
  <mergeCells count="22">
    <mergeCell ref="J8:K8"/>
    <mergeCell ref="A1:N1"/>
    <mergeCell ref="A14:I14"/>
    <mergeCell ref="B8:C8"/>
    <mergeCell ref="F8:G8"/>
    <mergeCell ref="A12:B12"/>
    <mergeCell ref="C12:D12"/>
    <mergeCell ref="C11:D11"/>
    <mergeCell ref="A2:N2"/>
    <mergeCell ref="E11:F11"/>
    <mergeCell ref="D6:E7"/>
    <mergeCell ref="F6:G7"/>
    <mergeCell ref="D8:E8"/>
    <mergeCell ref="H6:I7"/>
    <mergeCell ref="J6:K7"/>
    <mergeCell ref="A10:H10"/>
    <mergeCell ref="B6:C7"/>
    <mergeCell ref="H8:I8"/>
    <mergeCell ref="E12:F12"/>
    <mergeCell ref="G12:H12"/>
    <mergeCell ref="A11:B11"/>
    <mergeCell ref="G11:H11"/>
  </mergeCells>
  <conditionalFormatting sqref="I16:I25">
    <cfRule type="dataBar" priority="2">
      <dataBar>
        <cfvo type="num" val="0"/>
        <cfvo type="num" val="1"/>
        <color rgb="FF2563EB"/>
      </dataBar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03"/>
  <sheetViews>
    <sheetView showGridLines="0" tabSelected="1" zoomScaleNormal="100" workbookViewId="0">
      <pane ySplit="3" topLeftCell="A19" activePane="bottomLeft" state="frozen"/>
      <selection pane="bottomLeft" activeCell="E27" sqref="E27:E29"/>
    </sheetView>
  </sheetViews>
  <sheetFormatPr defaultColWidth="8.7109375" defaultRowHeight="15" x14ac:dyDescent="0.25"/>
  <cols>
    <col min="1" max="1" width="14" style="5" customWidth="1"/>
    <col min="2" max="2" width="18" style="5" customWidth="1"/>
    <col min="3" max="5" width="15" style="5" customWidth="1"/>
    <col min="6" max="6" width="17.7109375" style="5" bestFit="1" customWidth="1"/>
    <col min="7" max="7" width="10" style="5" customWidth="1"/>
    <col min="8" max="8" width="16" style="5" customWidth="1"/>
    <col min="9" max="9" width="15" style="5" customWidth="1"/>
  </cols>
  <sheetData>
    <row r="1" spans="1:9" ht="25.5" customHeight="1" thickBot="1" x14ac:dyDescent="0.3">
      <c r="A1" s="52" t="s">
        <v>39</v>
      </c>
      <c r="B1" s="53"/>
      <c r="C1" s="53"/>
      <c r="D1" s="53"/>
      <c r="E1" s="53"/>
      <c r="F1" s="53"/>
      <c r="G1" s="53"/>
      <c r="H1" s="53"/>
      <c r="I1" s="54"/>
    </row>
    <row r="2" spans="1:9" ht="27.75" customHeight="1" thickBot="1" x14ac:dyDescent="0.3">
      <c r="A2" s="55" t="s">
        <v>40</v>
      </c>
      <c r="B2" s="53"/>
      <c r="C2" s="53"/>
      <c r="D2" s="53"/>
      <c r="E2" s="53"/>
      <c r="F2" s="53"/>
      <c r="G2" s="53"/>
      <c r="H2" s="53"/>
      <c r="I2" s="54"/>
    </row>
    <row r="3" spans="1:9" ht="30" customHeight="1" thickBot="1" x14ac:dyDescent="0.3">
      <c r="A3" s="12" t="s">
        <v>41</v>
      </c>
      <c r="B3" s="13" t="s">
        <v>18</v>
      </c>
      <c r="C3" s="13" t="s">
        <v>42</v>
      </c>
      <c r="D3" s="13" t="s">
        <v>43</v>
      </c>
      <c r="E3" s="13" t="s">
        <v>44</v>
      </c>
      <c r="F3" s="13" t="s">
        <v>16</v>
      </c>
      <c r="G3" s="13" t="s">
        <v>45</v>
      </c>
      <c r="H3" s="13" t="s">
        <v>46</v>
      </c>
      <c r="I3" s="14" t="s">
        <v>47</v>
      </c>
    </row>
    <row r="4" spans="1:9" x14ac:dyDescent="0.25">
      <c r="A4" s="29">
        <v>46228</v>
      </c>
      <c r="B4" s="11" t="s">
        <v>28</v>
      </c>
      <c r="C4" s="10">
        <v>5</v>
      </c>
      <c r="D4" s="10">
        <v>90</v>
      </c>
      <c r="E4" s="11">
        <v>5</v>
      </c>
      <c r="F4" s="11" t="s">
        <v>48</v>
      </c>
      <c r="G4" s="11">
        <v>0</v>
      </c>
      <c r="H4" s="10">
        <f>SUM($C$4:C4)</f>
        <v>5</v>
      </c>
      <c r="I4" s="11">
        <f>ROUND(SUM($D$4:D4)/60,2)</f>
        <v>1.5</v>
      </c>
    </row>
    <row r="5" spans="1:9" x14ac:dyDescent="0.25">
      <c r="A5" s="29">
        <v>2</v>
      </c>
      <c r="B5" s="11" t="s">
        <v>28</v>
      </c>
      <c r="C5" s="10">
        <v>5</v>
      </c>
      <c r="D5" s="10">
        <v>75</v>
      </c>
      <c r="E5" s="11">
        <v>5</v>
      </c>
      <c r="F5" s="11" t="s">
        <v>48</v>
      </c>
      <c r="G5" s="11">
        <v>0</v>
      </c>
      <c r="H5" s="10">
        <f>SUM($C$4:C5)</f>
        <v>10</v>
      </c>
      <c r="I5" s="11">
        <f>ROUND(SUM($D$4:D5)/60,2)</f>
        <v>2.75</v>
      </c>
    </row>
    <row r="6" spans="1:9" x14ac:dyDescent="0.25">
      <c r="A6" s="29">
        <v>46230</v>
      </c>
      <c r="B6" s="11" t="s">
        <v>28</v>
      </c>
      <c r="C6" s="10">
        <v>5</v>
      </c>
      <c r="D6" s="10">
        <v>60</v>
      </c>
      <c r="E6" s="11">
        <v>5</v>
      </c>
      <c r="F6" s="11" t="s">
        <v>48</v>
      </c>
      <c r="G6" s="11">
        <v>0</v>
      </c>
      <c r="H6" s="10">
        <f>SUM($C$4:C6)</f>
        <v>15</v>
      </c>
      <c r="I6" s="11">
        <f>ROUND(SUM($D$4:D6)/60,2)</f>
        <v>3.75</v>
      </c>
    </row>
    <row r="7" spans="1:9" x14ac:dyDescent="0.25">
      <c r="A7" s="29">
        <v>46231</v>
      </c>
      <c r="B7" s="11" t="s">
        <v>28</v>
      </c>
      <c r="C7" s="10">
        <v>3</v>
      </c>
      <c r="D7" s="10">
        <v>40</v>
      </c>
      <c r="E7" s="11">
        <v>5</v>
      </c>
      <c r="F7" s="11" t="s">
        <v>49</v>
      </c>
      <c r="G7" s="11">
        <v>-2</v>
      </c>
      <c r="H7" s="10">
        <f>SUM($C$4:C7)</f>
        <v>18</v>
      </c>
      <c r="I7" s="11">
        <f>ROUND(SUM($D$4:D7)/60,2)</f>
        <v>4.42</v>
      </c>
    </row>
    <row r="8" spans="1:9" x14ac:dyDescent="0.25">
      <c r="A8" s="29">
        <v>46232</v>
      </c>
      <c r="B8" s="11" t="s">
        <v>28</v>
      </c>
      <c r="C8" s="10">
        <v>2</v>
      </c>
      <c r="D8" s="10">
        <v>40</v>
      </c>
      <c r="E8" s="11">
        <v>6</v>
      </c>
      <c r="F8" s="11" t="s">
        <v>49</v>
      </c>
      <c r="G8" s="11">
        <v>-4</v>
      </c>
      <c r="H8" s="10">
        <f>SUM($C$4:C8)</f>
        <v>20</v>
      </c>
      <c r="I8" s="11">
        <f>ROUND(SUM($D$4:D8)/60,2)</f>
        <v>5.08</v>
      </c>
    </row>
    <row r="9" spans="1:9" x14ac:dyDescent="0.25">
      <c r="A9" s="29">
        <v>46243</v>
      </c>
      <c r="B9" s="11" t="s">
        <v>28</v>
      </c>
      <c r="C9" s="10">
        <v>7</v>
      </c>
      <c r="D9" s="10">
        <v>120</v>
      </c>
      <c r="E9" s="11">
        <v>10</v>
      </c>
      <c r="F9" s="11" t="s">
        <v>49</v>
      </c>
      <c r="G9" s="11">
        <v>-3</v>
      </c>
      <c r="H9" s="10">
        <f>SUM($C$4:C9)</f>
        <v>27</v>
      </c>
      <c r="I9" s="11">
        <f>ROUND(SUM($D$4:D9)/60,2)</f>
        <v>7.08</v>
      </c>
    </row>
    <row r="10" spans="1:9" x14ac:dyDescent="0.25">
      <c r="A10" s="29">
        <v>46244</v>
      </c>
      <c r="B10" s="11" t="s">
        <v>28</v>
      </c>
      <c r="C10" s="10">
        <v>3</v>
      </c>
      <c r="D10" s="10">
        <v>0</v>
      </c>
      <c r="E10" s="11">
        <v>3</v>
      </c>
      <c r="F10" s="11" t="s">
        <v>52</v>
      </c>
      <c r="G10" s="11">
        <v>0</v>
      </c>
      <c r="H10" s="10">
        <f>SUM($C$4:C10)</f>
        <v>30</v>
      </c>
      <c r="I10" s="11">
        <f>ROUND(SUM($D$4:D10)/60,2)</f>
        <v>7.08</v>
      </c>
    </row>
    <row r="11" spans="1:9" x14ac:dyDescent="0.25">
      <c r="A11" s="29">
        <v>46245</v>
      </c>
      <c r="B11" s="11" t="s">
        <v>27</v>
      </c>
      <c r="C11" s="10">
        <v>5</v>
      </c>
      <c r="D11" s="10">
        <v>60</v>
      </c>
      <c r="E11" s="11">
        <v>5</v>
      </c>
      <c r="F11" s="11" t="s">
        <v>48</v>
      </c>
      <c r="G11" s="11">
        <v>0</v>
      </c>
      <c r="H11" s="10">
        <f>SUM($C$4:C11)</f>
        <v>35</v>
      </c>
      <c r="I11" s="11">
        <f>ROUND(SUM($D$4:D11)/60,2)</f>
        <v>8.08</v>
      </c>
    </row>
    <row r="12" spans="1:9" x14ac:dyDescent="0.25">
      <c r="A12" s="29">
        <v>46248</v>
      </c>
      <c r="B12" s="11" t="s">
        <v>27</v>
      </c>
      <c r="C12" s="10">
        <v>9</v>
      </c>
      <c r="D12" s="10">
        <v>100</v>
      </c>
      <c r="E12" s="11">
        <v>5</v>
      </c>
      <c r="F12" s="11" t="s">
        <v>48</v>
      </c>
      <c r="G12" s="11">
        <v>4</v>
      </c>
      <c r="H12" s="10">
        <f>SUM($C$4:C12)</f>
        <v>44</v>
      </c>
      <c r="I12" s="11">
        <f>ROUND(SUM($D$4:D12)/60,2)</f>
        <v>9.75</v>
      </c>
    </row>
    <row r="13" spans="1:9" x14ac:dyDescent="0.25">
      <c r="A13" s="29">
        <v>46249</v>
      </c>
      <c r="B13" s="11" t="s">
        <v>27</v>
      </c>
      <c r="C13" s="10">
        <v>13</v>
      </c>
      <c r="D13" s="10">
        <v>120</v>
      </c>
      <c r="E13" s="11">
        <v>5</v>
      </c>
      <c r="F13" s="11" t="s">
        <v>48</v>
      </c>
      <c r="G13" s="11">
        <v>8</v>
      </c>
      <c r="H13" s="10">
        <f>SUM($C$4:C13)</f>
        <v>57</v>
      </c>
      <c r="I13" s="11">
        <f>ROUND(SUM($D$4:D13)/60,2)</f>
        <v>11.75</v>
      </c>
    </row>
    <row r="14" spans="1:9" x14ac:dyDescent="0.25">
      <c r="A14" s="29">
        <v>46252</v>
      </c>
      <c r="B14" s="11" t="s">
        <v>27</v>
      </c>
      <c r="C14" s="10">
        <v>12</v>
      </c>
      <c r="D14" s="10">
        <v>60</v>
      </c>
      <c r="E14" s="11">
        <v>3</v>
      </c>
      <c r="F14" s="11" t="s">
        <v>48</v>
      </c>
      <c r="G14" s="11">
        <v>9</v>
      </c>
      <c r="H14" s="10">
        <f>SUM($C$4:C14)</f>
        <v>69</v>
      </c>
      <c r="I14" s="11">
        <f>ROUND(SUM($D$4:D14)/60,2)</f>
        <v>12.75</v>
      </c>
    </row>
    <row r="15" spans="1:9" x14ac:dyDescent="0.25">
      <c r="A15" s="29">
        <v>46253</v>
      </c>
      <c r="B15" s="11" t="s">
        <v>27</v>
      </c>
      <c r="C15" s="10">
        <v>5</v>
      </c>
      <c r="D15" s="10">
        <v>0</v>
      </c>
      <c r="E15" s="11">
        <v>1</v>
      </c>
      <c r="F15" s="11" t="s">
        <v>52</v>
      </c>
      <c r="G15" s="11">
        <v>4</v>
      </c>
      <c r="H15" s="10">
        <f>SUM($C$4:C15)</f>
        <v>74</v>
      </c>
      <c r="I15" s="11">
        <f>ROUND(SUM($D$4:D15)/60,2)</f>
        <v>12.75</v>
      </c>
    </row>
    <row r="16" spans="1:9" x14ac:dyDescent="0.25">
      <c r="A16" s="29">
        <v>46256</v>
      </c>
      <c r="B16" s="11" t="s">
        <v>29</v>
      </c>
      <c r="C16" s="10">
        <v>13</v>
      </c>
      <c r="D16" s="10">
        <v>180</v>
      </c>
      <c r="E16" s="11">
        <v>5</v>
      </c>
      <c r="F16" s="11" t="s">
        <v>48</v>
      </c>
      <c r="G16" s="11">
        <v>8</v>
      </c>
      <c r="H16" s="10">
        <f>SUM($C$4:C16)</f>
        <v>87</v>
      </c>
      <c r="I16" s="11">
        <f>ROUND(SUM($D$4:D16)/60,2)</f>
        <v>15.75</v>
      </c>
    </row>
    <row r="17" spans="1:9" x14ac:dyDescent="0.25">
      <c r="A17" s="29">
        <v>46257</v>
      </c>
      <c r="B17" s="11" t="s">
        <v>29</v>
      </c>
      <c r="C17" s="10">
        <v>4</v>
      </c>
      <c r="D17" s="10">
        <v>60</v>
      </c>
      <c r="E17" s="11">
        <v>4</v>
      </c>
      <c r="F17" s="11" t="s">
        <v>48</v>
      </c>
      <c r="G17" s="11">
        <v>0</v>
      </c>
      <c r="H17" s="10">
        <f>SUM($C$4:C17)</f>
        <v>91</v>
      </c>
      <c r="I17" s="11">
        <f>ROUND(SUM($D$4:D17)/60,2)</f>
        <v>16.75</v>
      </c>
    </row>
    <row r="18" spans="1:9" x14ac:dyDescent="0.25">
      <c r="A18" s="29">
        <v>46259</v>
      </c>
      <c r="B18" s="11" t="s">
        <v>29</v>
      </c>
      <c r="C18" s="10">
        <v>4</v>
      </c>
      <c r="D18" s="10">
        <v>120</v>
      </c>
      <c r="E18" s="11">
        <v>4</v>
      </c>
      <c r="F18" s="11" t="s">
        <v>48</v>
      </c>
      <c r="G18" s="11">
        <v>0</v>
      </c>
      <c r="H18" s="10">
        <f>SUM($C$4:C18)</f>
        <v>95</v>
      </c>
      <c r="I18" s="11">
        <f>ROUND(SUM($D$4:D18)/60,2)</f>
        <v>18.75</v>
      </c>
    </row>
    <row r="19" spans="1:9" x14ac:dyDescent="0.25">
      <c r="A19" s="29">
        <v>46261</v>
      </c>
      <c r="B19" s="11" t="s">
        <v>29</v>
      </c>
      <c r="C19" s="10">
        <v>1</v>
      </c>
      <c r="D19" s="10">
        <v>0</v>
      </c>
      <c r="E19" s="11">
        <v>3</v>
      </c>
      <c r="F19" s="11" t="s">
        <v>49</v>
      </c>
      <c r="G19" s="11">
        <v>-2</v>
      </c>
      <c r="H19" s="10">
        <f>SUM($C$4:C19)</f>
        <v>96</v>
      </c>
      <c r="I19" s="11">
        <f>ROUND(SUM($D$4:D19)/60,2)</f>
        <v>18.75</v>
      </c>
    </row>
    <row r="20" spans="1:9" x14ac:dyDescent="0.25">
      <c r="A20" s="29">
        <v>46264</v>
      </c>
      <c r="B20" s="11" t="s">
        <v>29</v>
      </c>
      <c r="C20" s="10">
        <v>8</v>
      </c>
      <c r="D20" s="10">
        <v>120</v>
      </c>
      <c r="E20" s="11">
        <v>4</v>
      </c>
      <c r="F20" s="11" t="s">
        <v>52</v>
      </c>
      <c r="G20" s="11">
        <v>4</v>
      </c>
      <c r="H20" s="10">
        <f>SUM($C$4:C20)</f>
        <v>104</v>
      </c>
      <c r="I20" s="11">
        <f>ROUND(SUM($D$4:D20)/60,2)</f>
        <v>20.75</v>
      </c>
    </row>
    <row r="21" spans="1:9" x14ac:dyDescent="0.25">
      <c r="A21" s="29">
        <v>46267</v>
      </c>
      <c r="B21" s="11" t="s">
        <v>30</v>
      </c>
      <c r="C21" s="10">
        <v>5</v>
      </c>
      <c r="D21" s="10">
        <v>90</v>
      </c>
      <c r="E21" s="11">
        <v>4</v>
      </c>
      <c r="F21" s="11" t="s">
        <v>48</v>
      </c>
      <c r="G21" s="11">
        <v>1</v>
      </c>
      <c r="H21" s="10">
        <f>SUM($C$4:C21)</f>
        <v>109</v>
      </c>
      <c r="I21" s="11">
        <f>ROUND(SUM($D$4:D21)/60,2)</f>
        <v>22.25</v>
      </c>
    </row>
    <row r="22" spans="1:9" x14ac:dyDescent="0.25">
      <c r="A22" s="29">
        <v>46268</v>
      </c>
      <c r="B22" s="11" t="s">
        <v>30</v>
      </c>
      <c r="C22" s="10">
        <v>4</v>
      </c>
      <c r="D22" s="10">
        <v>60</v>
      </c>
      <c r="E22" s="11">
        <v>3</v>
      </c>
      <c r="F22" s="11" t="s">
        <v>48</v>
      </c>
      <c r="G22" s="11">
        <v>1</v>
      </c>
      <c r="H22" s="10">
        <f>SUM($C$4:C22)</f>
        <v>113</v>
      </c>
      <c r="I22" s="11">
        <f>ROUND(SUM($D$4:D22)/60,2)</f>
        <v>23.25</v>
      </c>
    </row>
    <row r="23" spans="1:9" x14ac:dyDescent="0.25">
      <c r="A23" s="29">
        <v>46270</v>
      </c>
      <c r="B23" s="11" t="s">
        <v>30</v>
      </c>
      <c r="C23" s="10">
        <v>4</v>
      </c>
      <c r="D23" s="10">
        <v>60</v>
      </c>
      <c r="E23" s="11">
        <v>2</v>
      </c>
      <c r="F23" s="11" t="s">
        <v>52</v>
      </c>
      <c r="G23" s="11">
        <v>2</v>
      </c>
      <c r="H23" s="10">
        <f>SUM($C$4:C23)</f>
        <v>117</v>
      </c>
      <c r="I23" s="11">
        <f>ROUND(SUM($D$4:D23)/60,2)</f>
        <v>24.25</v>
      </c>
    </row>
    <row r="24" spans="1:9" x14ac:dyDescent="0.25">
      <c r="A24" s="29">
        <v>46271</v>
      </c>
      <c r="B24" s="11" t="s">
        <v>31</v>
      </c>
      <c r="C24" s="10">
        <v>6</v>
      </c>
      <c r="D24" s="10">
        <v>60</v>
      </c>
      <c r="E24" s="11">
        <v>6</v>
      </c>
      <c r="F24" s="11" t="s">
        <v>52</v>
      </c>
      <c r="G24" s="11">
        <v>0</v>
      </c>
      <c r="H24" s="10">
        <f>SUM($C$4:C24)</f>
        <v>123</v>
      </c>
      <c r="I24" s="11">
        <f>ROUND(SUM($D$4:D24)/60,2)</f>
        <v>25.25</v>
      </c>
    </row>
    <row r="25" spans="1:9" x14ac:dyDescent="0.25">
      <c r="A25" s="29">
        <v>46272</v>
      </c>
      <c r="B25" s="11" t="s">
        <v>35</v>
      </c>
      <c r="C25" s="10">
        <v>8</v>
      </c>
      <c r="D25" s="10">
        <v>90</v>
      </c>
      <c r="E25" s="11">
        <v>4</v>
      </c>
      <c r="F25" s="11" t="s">
        <v>48</v>
      </c>
      <c r="G25" s="11">
        <v>4</v>
      </c>
      <c r="H25" s="10">
        <f>SUM($C$4:C25)</f>
        <v>131</v>
      </c>
      <c r="I25" s="11">
        <f>ROUND(SUM($D$4:D25)/60,2)</f>
        <v>26.75</v>
      </c>
    </row>
    <row r="26" spans="1:9" x14ac:dyDescent="0.25">
      <c r="A26" s="29">
        <v>46273</v>
      </c>
      <c r="B26" s="11" t="s">
        <v>35</v>
      </c>
      <c r="C26" s="10">
        <v>15</v>
      </c>
      <c r="D26" s="10">
        <v>180</v>
      </c>
      <c r="E26" s="11">
        <v>3</v>
      </c>
      <c r="F26" s="11" t="s">
        <v>52</v>
      </c>
      <c r="G26" s="11">
        <v>12</v>
      </c>
      <c r="H26" s="10">
        <f>SUM($C$4:C26)</f>
        <v>146</v>
      </c>
      <c r="I26" s="11">
        <f>ROUND(SUM($D$4:D26)/60,2)</f>
        <v>29.75</v>
      </c>
    </row>
    <row r="27" spans="1:9" x14ac:dyDescent="0.25">
      <c r="A27" s="29">
        <v>46274</v>
      </c>
      <c r="B27" s="11" t="s">
        <v>32</v>
      </c>
      <c r="C27" s="10"/>
      <c r="D27" s="10"/>
      <c r="E27" s="11">
        <v>4</v>
      </c>
      <c r="F27" s="11" t="s">
        <v>50</v>
      </c>
      <c r="G27" s="11"/>
      <c r="H27" s="10">
        <f>SUM($C$4:C27)</f>
        <v>146</v>
      </c>
      <c r="I27" s="11">
        <f>ROUND(SUM($D$4:D27)/60,2)</f>
        <v>29.75</v>
      </c>
    </row>
    <row r="28" spans="1:9" x14ac:dyDescent="0.25">
      <c r="A28" s="29">
        <v>46275</v>
      </c>
      <c r="B28" s="11" t="s">
        <v>32</v>
      </c>
      <c r="C28" s="10"/>
      <c r="D28" s="10"/>
      <c r="E28" s="11">
        <v>4</v>
      </c>
      <c r="F28" s="11" t="s">
        <v>50</v>
      </c>
      <c r="G28" s="11"/>
      <c r="H28" s="10">
        <f>SUM($C$4:C28)</f>
        <v>146</v>
      </c>
      <c r="I28" s="11">
        <f>ROUND(SUM($D$4:D28)/60,2)</f>
        <v>29.75</v>
      </c>
    </row>
    <row r="29" spans="1:9" x14ac:dyDescent="0.25">
      <c r="A29" s="29">
        <v>46276</v>
      </c>
      <c r="B29" s="11" t="s">
        <v>32</v>
      </c>
      <c r="C29" s="10"/>
      <c r="D29" s="10"/>
      <c r="E29" s="11">
        <v>3</v>
      </c>
      <c r="F29" s="11" t="s">
        <v>50</v>
      </c>
      <c r="G29" s="11"/>
      <c r="H29" s="10">
        <f>SUM($C$4:C29)</f>
        <v>146</v>
      </c>
      <c r="I29" s="11">
        <f>ROUND(SUM($D$4:D29)/60,2)</f>
        <v>29.75</v>
      </c>
    </row>
    <row r="30" spans="1:9" x14ac:dyDescent="0.25">
      <c r="A30" s="29"/>
      <c r="B30" s="11"/>
      <c r="C30" s="10"/>
      <c r="D30" s="10"/>
      <c r="E30" s="11"/>
      <c r="F30" s="11"/>
      <c r="G30" s="11"/>
      <c r="H30" s="10"/>
      <c r="I30" s="11"/>
    </row>
    <row r="503" spans="1:9" x14ac:dyDescent="0.25">
      <c r="A503" s="56" t="s">
        <v>51</v>
      </c>
      <c r="B503" s="38"/>
      <c r="C503" s="38"/>
      <c r="D503" s="38"/>
      <c r="E503" s="38"/>
      <c r="F503" s="38"/>
      <c r="G503" s="38"/>
      <c r="H503" s="38"/>
      <c r="I503" s="38"/>
    </row>
  </sheetData>
  <mergeCells count="3">
    <mergeCell ref="A1:I1"/>
    <mergeCell ref="A2:I2"/>
    <mergeCell ref="A503:I503"/>
  </mergeCells>
  <conditionalFormatting sqref="F1:F4 F31:F1048576">
    <cfRule type="containsText" dxfId="11" priority="281" operator="containsText" text="Missed">
      <formula>NOT(ISERROR(SEARCH("Missed",F1)))</formula>
    </cfRule>
    <cfRule type="containsText" dxfId="10" priority="282" operator="containsText" text="Topic Complete">
      <formula>NOT(ISERROR(SEARCH("Topic Complete",F1)))</formula>
    </cfRule>
    <cfRule type="containsText" dxfId="9" priority="283" operator="containsText" text="Hit">
      <formula>NOT(ISERROR(SEARCH("Hit",F1)))</formula>
    </cfRule>
    <cfRule type="containsText" dxfId="8" priority="284" operator="containsText" text="Pending">
      <formula>NOT(ISERROR(SEARCH("Pending",F1)))</formula>
    </cfRule>
  </conditionalFormatting>
  <conditionalFormatting sqref="F30">
    <cfRule type="containsText" dxfId="7" priority="5" operator="containsText" text="Missed">
      <formula>NOT(ISERROR(SEARCH("Missed",F30)))</formula>
    </cfRule>
    <cfRule type="containsText" dxfId="6" priority="6" operator="containsText" text="Topic Complete">
      <formula>NOT(ISERROR(SEARCH("Topic Complete",F30)))</formula>
    </cfRule>
    <cfRule type="containsText" dxfId="5" priority="7" operator="containsText" text="Hit">
      <formula>NOT(ISERROR(SEARCH("Hit",F30)))</formula>
    </cfRule>
    <cfRule type="containsText" dxfId="4" priority="8" operator="containsText" text="Pending">
      <formula>NOT(ISERROR(SEARCH("Pending",F30)))</formula>
    </cfRule>
  </conditionalFormatting>
  <conditionalFormatting sqref="F5:F29">
    <cfRule type="containsText" dxfId="3" priority="1" operator="containsText" text="Missed">
      <formula>NOT(ISERROR(SEARCH("Missed",F5)))</formula>
    </cfRule>
    <cfRule type="containsText" dxfId="2" priority="2" operator="containsText" text="Topic Complete">
      <formula>NOT(ISERROR(SEARCH("Topic Complete",F5)))</formula>
    </cfRule>
    <cfRule type="containsText" dxfId="1" priority="3" operator="containsText" text="Hit">
      <formula>NOT(ISERROR(SEARCH("Hit",F5)))</formula>
    </cfRule>
    <cfRule type="containsText" dxfId="0" priority="4" operator="containsText" text="Pending">
      <formula>NOT(ISERROR(SEARCH("Pending",F5)))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Daily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cp:revision>1</cp:revision>
  <dcterms:created xsi:type="dcterms:W3CDTF">2026-07-25T07:48:50Z</dcterms:created>
  <dcterms:modified xsi:type="dcterms:W3CDTF">2026-09-07T21:32:11Z</dcterms:modified>
  <dc:language>en-US</dc:language>
</cp:coreProperties>
</file>